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mc:AlternateContent xmlns:mc="http://schemas.openxmlformats.org/markup-compatibility/2006">
    <mc:Choice Requires="x15">
      <x15ac:absPath xmlns:x15ac="http://schemas.microsoft.com/office/spreadsheetml/2010/11/ac" url="https://jaggaer-my.sharepoint.com/personal/mroesch_jaggaer_com/Documents/Intern/Advisory/ValueMetrics/Data/2024/"/>
    </mc:Choice>
  </mc:AlternateContent>
  <xr:revisionPtr revIDLastSave="44" documentId="8_{4C52F52B-18CE-0546-B63F-C86D492B6495}" xr6:coauthVersionLast="47" xr6:coauthVersionMax="47" xr10:uidLastSave="{5F393D96-5763-44DB-A4BA-B1B916CEEDDE}"/>
  <bookViews>
    <workbookView xWindow="0" yWindow="760" windowWidth="30240" windowHeight="17600" activeTab="6" xr2:uid="{00000000-000D-0000-FFFF-FFFF00000000}"/>
  </bookViews>
  <sheets>
    <sheet name="Overview" sheetId="1" r:id="rId1"/>
    <sheet name="SRM" sheetId="2" r:id="rId2"/>
    <sheet name="Sourcing" sheetId="3" r:id="rId3"/>
    <sheet name="Contracts" sheetId="4" r:id="rId4"/>
    <sheet name="eCatalog" sheetId="5" r:id="rId5"/>
    <sheet name="Invoice" sheetId="6" r:id="rId6"/>
    <sheet name="PO" sheetId="7" r:id="rId7"/>
    <sheet name="ASN" sheetId="8" r:id="rId8"/>
    <sheet name="Forecast" sheetId="9" r:id="rId9"/>
    <sheet name="VMI" sheetId="10" r:id="rId10"/>
    <sheet name="Quality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F4" i="1"/>
  <c r="F6" i="1"/>
  <c r="E6" i="1"/>
  <c r="D6" i="1"/>
  <c r="C5" i="1"/>
  <c r="C6" i="1"/>
  <c r="B3" i="11" l="1"/>
  <c r="B3" i="10"/>
  <c r="B3" i="9"/>
  <c r="B3" i="8"/>
  <c r="B3" i="6"/>
  <c r="B3" i="5"/>
  <c r="B3" i="4"/>
  <c r="B3" i="3"/>
  <c r="B3" i="2"/>
  <c r="B2" i="10"/>
  <c r="B5" i="11"/>
  <c r="D14" i="1" s="1"/>
  <c r="E14" i="1" s="1"/>
  <c r="F14" i="1" s="1"/>
  <c r="B5" i="10"/>
  <c r="D13" i="1" s="1"/>
  <c r="E13" i="1" s="1"/>
  <c r="F13" i="1" s="1"/>
  <c r="B5" i="9"/>
  <c r="D12" i="1" s="1"/>
  <c r="E12" i="1" s="1"/>
  <c r="F12" i="1" s="1"/>
  <c r="B5" i="8"/>
  <c r="D11" i="1" s="1"/>
  <c r="E11" i="1" s="1"/>
  <c r="F11" i="1" s="1"/>
  <c r="B5" i="7"/>
  <c r="D10" i="1" s="1"/>
  <c r="B5" i="6"/>
  <c r="D9" i="1" s="1"/>
  <c r="B5" i="5"/>
  <c r="D8" i="1" s="1"/>
  <c r="E8" i="1" s="1"/>
  <c r="F8" i="1" s="1"/>
  <c r="E9" i="1"/>
  <c r="F9" i="1" s="1"/>
  <c r="E10" i="1"/>
  <c r="F10" i="1" s="1"/>
  <c r="B5" i="4"/>
  <c r="D7" i="1" s="1"/>
  <c r="E7" i="1" s="1"/>
  <c r="F7" i="1" s="1"/>
  <c r="B5" i="3"/>
  <c r="D5" i="1" s="1"/>
  <c r="E5" i="1" s="1"/>
  <c r="F5" i="1" s="1"/>
  <c r="B5" i="2"/>
  <c r="D4" i="1" s="1"/>
  <c r="E4" i="1" s="1"/>
  <c r="E17" i="1" l="1"/>
  <c r="F19" i="1" s="1"/>
  <c r="G19" i="1" s="1"/>
</calcChain>
</file>

<file path=xl/sharedStrings.xml><?xml version="1.0" encoding="utf-8"?>
<sst xmlns="http://schemas.openxmlformats.org/spreadsheetml/2006/main" count="119" uniqueCount="97">
  <si>
    <t>GALP</t>
  </si>
  <si>
    <t>Module</t>
  </si>
  <si>
    <t>Transaction type</t>
  </si>
  <si>
    <t>Transactions/year</t>
  </si>
  <si>
    <t>Process cost savings per transaction(/year)</t>
  </si>
  <si>
    <t>Sum</t>
  </si>
  <si>
    <t>FTE savings</t>
  </si>
  <si>
    <t>SRM (incl performance  management)</t>
  </si>
  <si>
    <t>Onboarded/enabled suppliers</t>
  </si>
  <si>
    <t>Sourcing</t>
  </si>
  <si>
    <t>Sourcing events</t>
  </si>
  <si>
    <t>Quick-bids</t>
  </si>
  <si>
    <t>Contract</t>
  </si>
  <si>
    <t>Contracts</t>
  </si>
  <si>
    <t>eCatalog</t>
  </si>
  <si>
    <t>Shopping carts</t>
  </si>
  <si>
    <t>Invoicing</t>
  </si>
  <si>
    <t>Invoice</t>
  </si>
  <si>
    <t>PO</t>
  </si>
  <si>
    <t>Purchase order</t>
  </si>
  <si>
    <t>ASN</t>
  </si>
  <si>
    <t>ASN items</t>
  </si>
  <si>
    <t>Forecast / Call Offs</t>
  </si>
  <si>
    <t>DELFOR</t>
  </si>
  <si>
    <t>VMI</t>
  </si>
  <si>
    <t>Materials via VMI</t>
  </si>
  <si>
    <t>Quality</t>
  </si>
  <si>
    <t>Complaints</t>
  </si>
  <si>
    <t>ARR</t>
  </si>
  <si>
    <t>ROI</t>
  </si>
  <si>
    <t>Average cost per FTE per year</t>
  </si>
  <si>
    <t>Utilisation</t>
  </si>
  <si>
    <t>Suppliers managed per FTE</t>
  </si>
  <si>
    <t>Costs per supplier per year</t>
  </si>
  <si>
    <t>Savings percentage per supplier</t>
  </si>
  <si>
    <t>Process costs savings per supplier</t>
  </si>
  <si>
    <t>According to Bard/Gemini: 
how many suppliers should be managed per strategic procurment person</t>
  </si>
  <si>
    <t>General benchmarks:
While individual capacity varies, studies suggest strategic procurement professionals can effectively manage:
    5-10 complex, strategic suppliers: This requires significant time and effort dedicated to each supplier.
    10-20 moderately complex suppliers: With efficient processes and technology, this range offers good balance between control and workload.
    20+ standard suppliers: Automation and support become crucial to maintain effectiveness at larger scales</t>
  </si>
  <si>
    <t xml:space="preserve">According to Bard/Gemini:
average saving per supplier by using a digital supplier management solution
</t>
  </si>
  <si>
    <t>Reported savings ranges:
While a precise average is elusive, reports and studies point to savings potential within these ranges:
    5-20% reduction in direct procurement costs: This aligns with McKinsey &amp; Company's report on digital procurement transformation.
    10-30% savings on spend analysis and contract negotiation: Procurement automation and data insights can drive significant reductions.
    Double-digit improvement in inventory optimization and supplier performance: Streamlined processes and better visibility lead to cost savings.</t>
  </si>
  <si>
    <t>Events managed per FTE per year</t>
  </si>
  <si>
    <t>Costs per event</t>
  </si>
  <si>
    <t>Savings percentage per event</t>
  </si>
  <si>
    <t>Process cost savings per contract</t>
  </si>
  <si>
    <t>According to Bard/Gemini: 
time savings per sourcing event using a fully integrated digital solution</t>
  </si>
  <si>
    <t>Reported time savings ranges:
Studies and reports suggest potential time savings per sourcing event in the following ranges:
    20-50% reduction in overall sourcing cycle time: This aligns with research by Procurement Leaders and PayStream Advisors.
    30-40% faster supplier identification and qualification: Automated search, filtering, and pre-qualification features accelerate this stage.
    25-35% time saved on proposal evaluation and scoring: Standardized templates, scoring tools, and data analysis streamline this process.
    15-20% quicker contract negotiation and finalization: Automated workflows and centralized document management expedite these steps.</t>
  </si>
  <si>
    <t>According to Bard/Gemini:
how many sourcing events are managed by a procurement person on average</t>
  </si>
  <si>
    <t>General benchmarks:
While individual capacity varies, reports suggest procurement professionals might manage:
    10-20 sourcing events per year: This applies to complex events requiring significant time and effort.
    20-40 events per year: This range is possible with efficient processes and moderate-complexity events.
    40+ events per year: Highly automated environments and supporting teams enable this higher volume, but might compromise individual attention.</t>
  </si>
  <si>
    <t>Contracts managed per FTE per year</t>
  </si>
  <si>
    <t>Costs per contract</t>
  </si>
  <si>
    <t>Savings percentage per contract</t>
  </si>
  <si>
    <t>According to Bard/Gemini: 
how many contracts are managed by a procurement person on average</t>
  </si>
  <si>
    <t>General benchmarks, but caution is advised:
While individual capacity varies, reports suggest procurement professionals might manage:
    50-200 active contracts: This applies to scenarios with moderate complexity and efficient processes.
    200-500+ contracts: Highly automated platforms and dedicated support teams enable this higher volume, but individual focus might be compromised.</t>
  </si>
  <si>
    <t>According to Bard/Gemini:
time savings per contract a fully integrated digital solution</t>
  </si>
  <si>
    <t>Reported time savings ranges:
Studies and reports suggest potential time savings per contract in the following ranges:
    20-40% reduction in overall contract lifecycle time: This aligns with research by IDC and Procurement Leaders.
    30-50% faster contract drafting and negotiation: Automated templates, clause libraries, and collaboration tools expedite these steps.
    25-35% time saved on approvals and finalization: Electronic workflows and centralized document management streamline approvals.
    15-20% quicker risk assessments and compliance checks: Automated risk analysis tools and pre-built compliance checklists save time.</t>
  </si>
  <si>
    <t>Minutes per requisition without epro</t>
  </si>
  <si>
    <t>Costs per preq</t>
  </si>
  <si>
    <t>Savings percentage per req</t>
  </si>
  <si>
    <t>Process cost savings per req</t>
  </si>
  <si>
    <t>According to Bard/Gemini: 
effort in minutes per requisition without an eprocurment solution</t>
  </si>
  <si>
    <t>Estimating effort without eprocurment:
While precise figures are difficult, consider:
    Industry benchmarks: Average requisition processing time without eprocurment ranges from 30-60 minutes, depending on complexity.
    Internal data: If available, analyze past requisition processing times for a more specific estimate.
    Task breakdown: Estimate time for each task involved, such as item research, supplier selection, price comparison, approvals, and order placement.
Potential effort reduction with eprocurment:
Studies suggest eprocurment solutions can reduce requisition processing time by 20-40%. Applying this range to your estimated effort without eprocurment provides a potential time savings range.</t>
  </si>
  <si>
    <t>Minutes per invoice without P2P</t>
  </si>
  <si>
    <t>Savings percentage per invoice</t>
  </si>
  <si>
    <t>Process cost savings per invoice</t>
  </si>
  <si>
    <t>According to Bard/Gemini: 
effort in minutes per invoice without an P2P solution</t>
  </si>
  <si>
    <t>Estimating effort without a P2P solution:
While precise figures are difficult, consider:
    Industry benchmarks: Average invoice processing time without a P2P solution can range from 10-20 minutes, depending on complexity.
    Internal data: If available, analyze past invoice processing times for a more specific estimate.
    Task breakdown: Estimate time for each task involved, such as data entry, matching, approvals, error correction, and payment processing.
Potential effort reduction with a P2P solution:
Studies suggest P2P solutions can reduce invoice processing time by 30-50%. Applying this range to your estimated effort without a P2P solution provides a potential time savings range. Additionally, consider:
    Automated data entry: Eliminates manual data entry errors and saves time.
    Automated matching: Quickly and accurately matches invoices to POs, reducing manual effort.
    Streamlined approvals: Electronic workflows speed up the approval process.
    Enhanced error detection: Automated rules flag potential errors for faster correction.
    Electronic payments: Saves time and eliminates manual tasks associated with traditional payment methods.</t>
  </si>
  <si>
    <t>Minutes per PO without ePro</t>
  </si>
  <si>
    <t>Costs per PO</t>
  </si>
  <si>
    <t>Savings percentage per PO</t>
  </si>
  <si>
    <t>Process cost savings per PO</t>
  </si>
  <si>
    <t>According to Bard/Gemini: 
effort in minutes per PO without an eProcurment solution</t>
  </si>
  <si>
    <t>Estimating effort without eProcurement:
Similar to requisitions, precise figures are difficult, but consider:
    Industry benchmarks: Average PO processing time without eProcurement can range from 60-120 minutes, depending on complexity.
    Internal data: If available, analyze past PO processing times for a more specific estimate.
    Task breakdown: Estimate time for each task involved, such as generating the PO, obtaining approvals, communicating with suppliers, and managing amendments.
Potential effort reduction with eProcurement:
Studies suggest eProcurement solutions can reduce PO processing time by 20-40%. Applying this range to your estimated effort without eProcurement provides a potential time savings range.</t>
  </si>
  <si>
    <t>Minutes per ASN without a system</t>
  </si>
  <si>
    <t>Costs per ASN</t>
  </si>
  <si>
    <t>Savings percentage per ASN</t>
  </si>
  <si>
    <t>Process cost savings per ASN</t>
  </si>
  <si>
    <t>According to Bard/Gemini: 
effort in minutes per ASN without an eProcurment solution</t>
  </si>
  <si>
    <t>Estimating effort without eProcurement:
While precise figures are difficult, consider:
    Industry benchmarks: Average ASN processing time without eProcurement can range from 5-15 minutes per item, depending on complexity.
    Internal data: If available, analyze past ASN processing times for a more specific estimate.
    Task breakdown: Estimate time for each task involved, such as data entry, verification, error correction, communication, and filing.
Potential effort reduction with eProcurement:
Studies suggest eProcurement solutions can reduce ASN processing time by 30-50%. Applying this range to your estimated effort without eProcurement provides a potential time savings range.</t>
  </si>
  <si>
    <t>Minutes per DELFOR without ePro</t>
  </si>
  <si>
    <t>Costs per DELFOR</t>
  </si>
  <si>
    <t>Savings percentage per DELFOR</t>
  </si>
  <si>
    <t>Process cost savings per DELFOR</t>
  </si>
  <si>
    <t>According to Bard/Gemini: 
effort in minutes per DELFOR without an eProcurment solution</t>
  </si>
  <si>
    <t>Estimating effort without eProcurement:
While precise figures are difficult, consider these approaches:
    Industry benchmarks: Average DELFOR processing time without eProcurement can range from 15-30 minutes per DELFOR, depending on complexity.
    Internal data: Analyze past DELFOR processing times for a more specific estimate if available.
    Task breakdown: Estimate time for each task involved, such as data entry, supplier verification, approval routing, and communication.
Potential effort reduction with eProcurement:
Studies suggest eProcurement solutions can reduce DELFOR processing time by 30-50%. Applying this range to your estimated effort without eProcurement provides a potential time savings range.</t>
  </si>
  <si>
    <t>Minutes effort for disposition without VMI</t>
  </si>
  <si>
    <t>estimation: 60 min per month</t>
  </si>
  <si>
    <t>Costs per VMI material</t>
  </si>
  <si>
    <t>Savings percentage per VMI material</t>
  </si>
  <si>
    <t>Process cost savings per VMI material</t>
  </si>
  <si>
    <t xml:space="preserve">According to Bard/Gemini: </t>
  </si>
  <si>
    <t>Minutes per complaint without system</t>
  </si>
  <si>
    <t>estimate</t>
  </si>
  <si>
    <t>Costs per complaint</t>
  </si>
  <si>
    <t>Savings percentage per complaint</t>
  </si>
  <si>
    <t>Process cost savings per complaint</t>
  </si>
  <si>
    <t>effort for managing a reclamation in minutes</t>
  </si>
  <si>
    <t>Potential effort reduction with dedicated solutions:
Studies suggest dedicated reclamation management software or integrated solutions within robust ERP systems can reduce processing time by 20-40%. Applying this range to your estimated effort without such solutions provides a potential savings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</si>
</sst>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Alignment="1">
      <alignment vertical="top" wrapText="1"/>
    </xf>
    <xf numFmtId="9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vertical="top" wrapText="1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3" fontId="0" fillId="0" borderId="0" xfId="0" applyNumberFormat="1"/>
    <xf numFmtId="2" fontId="8" fillId="0" borderId="0" xfId="0" applyNumberFormat="1" applyFont="1"/>
    <xf numFmtId="9" fontId="8" fillId="0" borderId="0" xfId="1" applyFont="1"/>
    <xf numFmtId="0" fontId="8" fillId="0" borderId="0" xfId="0" applyFont="1"/>
    <xf numFmtId="164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metrics (Soft Savings)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Overview!$E$3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Overview!$A$4:$B$14</c:f>
              <c:multiLvlStrCache>
                <c:ptCount val="11"/>
                <c:lvl>
                  <c:pt idx="0">
                    <c:v>Onboarded/enabled suppliers</c:v>
                  </c:pt>
                  <c:pt idx="1">
                    <c:v>Sourcing events</c:v>
                  </c:pt>
                  <c:pt idx="2">
                    <c:v>Quick-bids</c:v>
                  </c:pt>
                  <c:pt idx="3">
                    <c:v>Contracts</c:v>
                  </c:pt>
                  <c:pt idx="4">
                    <c:v>Shopping carts</c:v>
                  </c:pt>
                  <c:pt idx="5">
                    <c:v>Invoice</c:v>
                  </c:pt>
                  <c:pt idx="6">
                    <c:v>Purchase order</c:v>
                  </c:pt>
                  <c:pt idx="7">
                    <c:v>ASN items</c:v>
                  </c:pt>
                  <c:pt idx="8">
                    <c:v>DELFOR</c:v>
                  </c:pt>
                  <c:pt idx="9">
                    <c:v>Materials via VMI</c:v>
                  </c:pt>
                  <c:pt idx="10">
                    <c:v>Complaints</c:v>
                  </c:pt>
                </c:lvl>
                <c:lvl>
                  <c:pt idx="0">
                    <c:v>SRM (incl performance  management)</c:v>
                  </c:pt>
                  <c:pt idx="1">
                    <c:v>Sourcing</c:v>
                  </c:pt>
                  <c:pt idx="2">
                    <c:v>Sourcing</c:v>
                  </c:pt>
                  <c:pt idx="3">
                    <c:v>Contract</c:v>
                  </c:pt>
                  <c:pt idx="4">
                    <c:v>eCatalog</c:v>
                  </c:pt>
                  <c:pt idx="5">
                    <c:v>Invoicing</c:v>
                  </c:pt>
                  <c:pt idx="6">
                    <c:v>PO</c:v>
                  </c:pt>
                  <c:pt idx="7">
                    <c:v>ASN</c:v>
                  </c:pt>
                  <c:pt idx="8">
                    <c:v>Forecast / Call Offs</c:v>
                  </c:pt>
                  <c:pt idx="9">
                    <c:v>VMI</c:v>
                  </c:pt>
                  <c:pt idx="10">
                    <c:v>Quality</c:v>
                  </c:pt>
                </c:lvl>
              </c:multiLvlStrCache>
            </c:multiLvlStrRef>
          </c:cat>
          <c:val>
            <c:numRef>
              <c:f>Overview!$E$4:$E$14</c:f>
              <c:numCache>
                <c:formatCode>_([$€-2]\ * #,##0.00_);_([$€-2]\ * \(#,##0.00\);_([$€-2]\ * "-"??_);_(@_)</c:formatCode>
                <c:ptCount val="11"/>
                <c:pt idx="0">
                  <c:v>473760</c:v>
                </c:pt>
                <c:pt idx="1">
                  <c:v>578112</c:v>
                </c:pt>
                <c:pt idx="2">
                  <c:v>231244.80000000002</c:v>
                </c:pt>
                <c:pt idx="3">
                  <c:v>325248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45-4601-BA55-B4448D3C3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937095"/>
        <c:axId val="838939143"/>
      </c:barChart>
      <c:catAx>
        <c:axId val="838937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39143"/>
        <c:crosses val="autoZero"/>
        <c:auto val="1"/>
        <c:lblAlgn val="ctr"/>
        <c:lblOffset val="100"/>
        <c:noMultiLvlLbl val="0"/>
      </c:catAx>
      <c:valAx>
        <c:axId val="838939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498475</xdr:colOff>
      <xdr:row>21</xdr:row>
      <xdr:rowOff>101600</xdr:rowOff>
    </xdr:from>
    <xdr:to>
      <xdr:col>6</xdr:col>
      <xdr:colOff>28575</xdr:colOff>
      <xdr:row>47</xdr:row>
      <xdr:rowOff>92075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09FACC-1025-CDA2-912D-4717DBB84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opLeftCell="B1" zoomScale="150" zoomScaleNormal="150" workbookViewId="0">
      <selection activeCell="F4" sqref="F4"/>
    </sheetView>
  </sheetViews>
  <sheetFormatPr defaultColWidth="8.85546875" defaultRowHeight="15"/>
  <cols>
    <col min="1" max="1" width="33.28515625" customWidth="1"/>
    <col min="2" max="2" width="24.42578125" customWidth="1"/>
    <col min="3" max="3" width="21" customWidth="1"/>
    <col min="4" max="4" width="40.42578125" customWidth="1"/>
    <col min="5" max="5" width="24.7109375" customWidth="1"/>
    <col min="6" max="6" width="13.140625" customWidth="1"/>
  </cols>
  <sheetData>
    <row r="1" spans="1:6" ht="20.25" customHeight="1">
      <c r="A1" s="13" t="s">
        <v>0</v>
      </c>
      <c r="B1" s="14">
        <v>2024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1" t="s">
        <v>6</v>
      </c>
    </row>
    <row r="4" spans="1:6">
      <c r="A4" t="s">
        <v>7</v>
      </c>
      <c r="B4" t="s">
        <v>8</v>
      </c>
      <c r="C4" s="15">
        <v>1974</v>
      </c>
      <c r="D4" s="3">
        <f>SRM!B5</f>
        <v>240</v>
      </c>
      <c r="E4" s="3">
        <f>D4*C4</f>
        <v>473760</v>
      </c>
      <c r="F4" s="12">
        <f>E4/SRM!B1</f>
        <v>7.8959999999999999</v>
      </c>
    </row>
    <row r="5" spans="1:6">
      <c r="A5" t="s">
        <v>9</v>
      </c>
      <c r="B5" t="s">
        <v>10</v>
      </c>
      <c r="C5" s="15">
        <f>6022*0.2</f>
        <v>1204.4000000000001</v>
      </c>
      <c r="D5" s="3">
        <f>Sourcing!B5</f>
        <v>480</v>
      </c>
      <c r="E5" s="3">
        <f>D5*C5</f>
        <v>578112</v>
      </c>
      <c r="F5" s="12">
        <f>E5/Sourcing!B1</f>
        <v>9.6351999999999993</v>
      </c>
    </row>
    <row r="6" spans="1:6">
      <c r="A6" t="s">
        <v>9</v>
      </c>
      <c r="B6" t="s">
        <v>11</v>
      </c>
      <c r="C6" s="15">
        <f>6022*0.8</f>
        <v>4817.6000000000004</v>
      </c>
      <c r="D6" s="3">
        <f>D5*0.1</f>
        <v>48</v>
      </c>
      <c r="E6" s="3">
        <f>D6*C6</f>
        <v>231244.80000000002</v>
      </c>
      <c r="F6" s="12">
        <f>E6/Sourcing!B1</f>
        <v>3.8540800000000002</v>
      </c>
    </row>
    <row r="7" spans="1:6">
      <c r="A7" t="s">
        <v>12</v>
      </c>
      <c r="B7" t="s">
        <v>13</v>
      </c>
      <c r="C7" s="15">
        <v>6776</v>
      </c>
      <c r="D7" s="3">
        <f>Contracts!B5</f>
        <v>48</v>
      </c>
      <c r="E7" s="3">
        <f t="shared" ref="E7:E14" si="0">D7*C7</f>
        <v>325248</v>
      </c>
      <c r="F7" s="12">
        <f>E7/Contracts!B1</f>
        <v>5.4207999999999998</v>
      </c>
    </row>
    <row r="8" spans="1:6">
      <c r="A8" t="s">
        <v>14</v>
      </c>
      <c r="B8" t="s">
        <v>15</v>
      </c>
      <c r="C8" s="15"/>
      <c r="D8" s="3">
        <f>eCatalog!B5</f>
        <v>5.3571428571428568</v>
      </c>
      <c r="E8" s="3">
        <f t="shared" si="0"/>
        <v>0</v>
      </c>
      <c r="F8" s="12">
        <f>E8/eCatalog!B1</f>
        <v>0</v>
      </c>
    </row>
    <row r="9" spans="1:6">
      <c r="A9" t="s">
        <v>16</v>
      </c>
      <c r="B9" t="s">
        <v>17</v>
      </c>
      <c r="C9" s="15"/>
      <c r="D9" s="3">
        <f>Invoice!B5</f>
        <v>2.3809523809523809</v>
      </c>
      <c r="E9" s="3">
        <f t="shared" si="0"/>
        <v>0</v>
      </c>
      <c r="F9" s="12">
        <f>E9/Invoice!B1</f>
        <v>0</v>
      </c>
    </row>
    <row r="10" spans="1:6">
      <c r="A10" t="s">
        <v>18</v>
      </c>
      <c r="B10" t="s">
        <v>19</v>
      </c>
      <c r="C10" s="15"/>
      <c r="D10" s="3">
        <f>PO!B5</f>
        <v>10.714285714285714</v>
      </c>
      <c r="E10" s="3">
        <f t="shared" si="0"/>
        <v>0</v>
      </c>
      <c r="F10" s="12">
        <f>E10/PO!B1</f>
        <v>0</v>
      </c>
    </row>
    <row r="11" spans="1:6">
      <c r="A11" t="s">
        <v>20</v>
      </c>
      <c r="B11" t="s">
        <v>21</v>
      </c>
      <c r="C11" s="15"/>
      <c r="D11" s="3">
        <f>ASN!B5</f>
        <v>1.5873015873015872</v>
      </c>
      <c r="E11" s="3">
        <f t="shared" si="0"/>
        <v>0</v>
      </c>
      <c r="F11" s="12">
        <f>E11/ASN!B1</f>
        <v>0</v>
      </c>
    </row>
    <row r="12" spans="1:6">
      <c r="A12" t="s">
        <v>22</v>
      </c>
      <c r="B12" t="s">
        <v>23</v>
      </c>
      <c r="C12" s="15"/>
      <c r="D12" s="3">
        <f>Forecast!B5</f>
        <v>3.4920634920634921</v>
      </c>
      <c r="E12" s="3">
        <f t="shared" si="0"/>
        <v>0</v>
      </c>
      <c r="F12" s="12">
        <f>E12/Forecast!B1</f>
        <v>0</v>
      </c>
    </row>
    <row r="13" spans="1:6">
      <c r="A13" t="s">
        <v>24</v>
      </c>
      <c r="B13" t="s">
        <v>25</v>
      </c>
      <c r="C13" s="15"/>
      <c r="D13" s="3">
        <f>VMI!B5</f>
        <v>100</v>
      </c>
      <c r="E13" s="3">
        <f t="shared" si="0"/>
        <v>0</v>
      </c>
      <c r="F13" s="12">
        <f>E13/VMI!B1</f>
        <v>0</v>
      </c>
    </row>
    <row r="14" spans="1:6">
      <c r="A14" t="s">
        <v>26</v>
      </c>
      <c r="B14" t="s">
        <v>27</v>
      </c>
      <c r="C14" s="15"/>
      <c r="D14" s="3">
        <f>Quality!B5</f>
        <v>14.285714285714283</v>
      </c>
      <c r="E14" s="3">
        <f t="shared" si="0"/>
        <v>0</v>
      </c>
      <c r="F14" s="12">
        <f>E14/Quality!B1</f>
        <v>0</v>
      </c>
    </row>
    <row r="15" spans="1:6">
      <c r="D15" s="3"/>
      <c r="E15" s="3"/>
    </row>
    <row r="16" spans="1:6">
      <c r="D16" s="3"/>
      <c r="E16" s="3"/>
    </row>
    <row r="17" spans="4:8">
      <c r="E17" s="8">
        <f>SUM(E4:E16)</f>
        <v>1608364.8</v>
      </c>
    </row>
    <row r="18" spans="4:8">
      <c r="D18" s="3"/>
      <c r="E18" s="3"/>
    </row>
    <row r="19" spans="4:8">
      <c r="D19" s="19" t="s">
        <v>28</v>
      </c>
      <c r="E19" s="3">
        <v>400000</v>
      </c>
      <c r="F19" s="16">
        <f>E17/E19</f>
        <v>4.020912</v>
      </c>
      <c r="G19" s="17">
        <f>F19</f>
        <v>4.020912</v>
      </c>
      <c r="H19" s="18" t="s">
        <v>29</v>
      </c>
    </row>
    <row r="20" spans="4:8">
      <c r="D20" s="3"/>
      <c r="E20" s="3"/>
    </row>
    <row r="21" spans="4:8">
      <c r="D21" s="3"/>
      <c r="E21" s="3"/>
    </row>
    <row r="22" spans="4:8">
      <c r="D22" s="3"/>
      <c r="E22" s="3"/>
    </row>
    <row r="23" spans="4:8">
      <c r="D23" s="3"/>
      <c r="E23" s="3"/>
    </row>
    <row r="24" spans="4:8">
      <c r="D24" s="3"/>
      <c r="E24" s="3"/>
    </row>
    <row r="25" spans="4:8">
      <c r="D25" s="3"/>
      <c r="E25" s="3"/>
    </row>
    <row r="26" spans="4:8">
      <c r="D26" s="3"/>
      <c r="E26" s="3"/>
    </row>
    <row r="27" spans="4:8">
      <c r="D27" s="3"/>
      <c r="E27" s="3"/>
    </row>
    <row r="28" spans="4:8">
      <c r="D28" s="3"/>
      <c r="E28" s="3"/>
    </row>
    <row r="29" spans="4:8">
      <c r="D29" s="3"/>
      <c r="E29" s="3"/>
    </row>
    <row r="30" spans="4:8">
      <c r="D30" s="3"/>
      <c r="E30" s="3"/>
    </row>
    <row r="31" spans="4:8">
      <c r="D31" s="3"/>
      <c r="E31" s="3"/>
    </row>
    <row r="32" spans="4:8">
      <c r="D32" s="3"/>
      <c r="E32" s="3"/>
    </row>
    <row r="33" spans="4:5">
      <c r="D33" s="3"/>
      <c r="E33" s="3"/>
    </row>
    <row r="34" spans="4:5">
      <c r="D34" s="3"/>
      <c r="E34" s="3"/>
    </row>
    <row r="35" spans="4:5">
      <c r="E35" s="3"/>
    </row>
    <row r="36" spans="4:5">
      <c r="E36" s="3"/>
    </row>
    <row r="37" spans="4:5">
      <c r="E37" s="3"/>
    </row>
    <row r="38" spans="4:5">
      <c r="E3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5547-A170-4C5F-8924-CF05B7D7C79E}">
  <dimension ref="A1:E32"/>
  <sheetViews>
    <sheetView zoomScale="200" zoomScaleNormal="200" workbookViewId="0">
      <selection activeCell="B5" sqref="B5"/>
    </sheetView>
  </sheetViews>
  <sheetFormatPr defaultColWidth="8.85546875" defaultRowHeight="15"/>
  <cols>
    <col min="1" max="1" width="34.42578125" customWidth="1"/>
    <col min="2" max="2" width="41" customWidth="1"/>
    <col min="4" max="4" width="11.7109375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32</v>
      </c>
      <c r="B2" s="7">
        <v>20</v>
      </c>
    </row>
    <row r="3" spans="1:5">
      <c r="A3" s="1" t="s">
        <v>33</v>
      </c>
      <c r="B3" s="3">
        <f>B1*E1/B2</f>
        <v>2400</v>
      </c>
    </row>
    <row r="4" spans="1:5">
      <c r="A4" s="1" t="s">
        <v>34</v>
      </c>
      <c r="B4" s="6">
        <v>0.1</v>
      </c>
    </row>
    <row r="5" spans="1:5">
      <c r="A5" s="1" t="s">
        <v>35</v>
      </c>
      <c r="B5" s="9">
        <f>B4*B3</f>
        <v>240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243" customHeight="1">
      <c r="A9" s="5" t="s">
        <v>36</v>
      </c>
      <c r="B9" s="4" t="s">
        <v>37</v>
      </c>
    </row>
    <row r="10" spans="1:5">
      <c r="A10" s="1"/>
      <c r="B10" s="4"/>
    </row>
    <row r="11" spans="1:5" ht="259.5" customHeight="1">
      <c r="A11" s="5" t="s">
        <v>38</v>
      </c>
      <c r="B11" s="4" t="s">
        <v>39</v>
      </c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D28E-9FEF-46A9-9F3A-55A5B3371C46}">
  <dimension ref="A1:E32"/>
  <sheetViews>
    <sheetView zoomScale="160" zoomScaleNormal="160" workbookViewId="0">
      <selection activeCell="D1" sqref="D1:E1"/>
    </sheetView>
  </sheetViews>
  <sheetFormatPr defaultColWidth="8.85546875" defaultRowHeight="15"/>
  <cols>
    <col min="1" max="1" width="29" customWidth="1"/>
    <col min="2" max="2" width="41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40</v>
      </c>
      <c r="B2" s="7">
        <v>20</v>
      </c>
    </row>
    <row r="3" spans="1:5">
      <c r="A3" s="1" t="s">
        <v>41</v>
      </c>
      <c r="B3" s="3">
        <f>B1*E1/B2</f>
        <v>2400</v>
      </c>
    </row>
    <row r="4" spans="1:5">
      <c r="A4" s="1" t="s">
        <v>42</v>
      </c>
      <c r="B4" s="6">
        <v>0.2</v>
      </c>
    </row>
    <row r="5" spans="1:5">
      <c r="A5" s="1" t="s">
        <v>43</v>
      </c>
      <c r="B5" s="9">
        <f>B4*B3</f>
        <v>480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291.75" customHeight="1">
      <c r="A9" s="5" t="s">
        <v>44</v>
      </c>
      <c r="B9" s="4" t="s">
        <v>45</v>
      </c>
    </row>
    <row r="10" spans="1:5">
      <c r="A10" s="1"/>
      <c r="B10" s="4"/>
    </row>
    <row r="11" spans="1:5" ht="259.5" customHeight="1">
      <c r="A11" s="5" t="s">
        <v>46</v>
      </c>
      <c r="B11" s="4" t="s">
        <v>47</v>
      </c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F372-B9B4-495D-96D5-9CFCFB12EEFD}">
  <dimension ref="A1:E32"/>
  <sheetViews>
    <sheetView workbookViewId="0">
      <selection activeCell="D1" sqref="D1:E1"/>
    </sheetView>
  </sheetViews>
  <sheetFormatPr defaultColWidth="8.85546875" defaultRowHeight="15"/>
  <cols>
    <col min="1" max="1" width="35" customWidth="1"/>
    <col min="2" max="2" width="41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48</v>
      </c>
      <c r="B2" s="7">
        <v>200</v>
      </c>
    </row>
    <row r="3" spans="1:5">
      <c r="A3" s="1" t="s">
        <v>49</v>
      </c>
      <c r="B3" s="3">
        <f>B1*E1/B2</f>
        <v>240</v>
      </c>
    </row>
    <row r="4" spans="1:5">
      <c r="A4" s="1" t="s">
        <v>50</v>
      </c>
      <c r="B4" s="6">
        <v>0.2</v>
      </c>
    </row>
    <row r="5" spans="1:5">
      <c r="A5" s="1" t="s">
        <v>43</v>
      </c>
      <c r="B5" s="9">
        <f>B4*B3</f>
        <v>48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201" customHeight="1">
      <c r="A9" s="5" t="s">
        <v>51</v>
      </c>
      <c r="B9" s="4" t="s">
        <v>52</v>
      </c>
    </row>
    <row r="10" spans="1:5">
      <c r="A10" s="1"/>
      <c r="B10" s="4"/>
    </row>
    <row r="11" spans="1:5" ht="309" customHeight="1">
      <c r="A11" s="5" t="s">
        <v>53</v>
      </c>
      <c r="B11" s="4" t="s">
        <v>54</v>
      </c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6B67-DB1A-44BC-868E-002D6EB92F35}">
  <dimension ref="A1:E32"/>
  <sheetViews>
    <sheetView workbookViewId="0">
      <selection activeCell="B3" sqref="B3"/>
    </sheetView>
  </sheetViews>
  <sheetFormatPr defaultColWidth="8.85546875" defaultRowHeight="15"/>
  <cols>
    <col min="1" max="1" width="35" customWidth="1"/>
    <col min="2" max="2" width="41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55</v>
      </c>
      <c r="B2" s="7">
        <v>45</v>
      </c>
    </row>
    <row r="3" spans="1:5">
      <c r="A3" s="1" t="s">
        <v>56</v>
      </c>
      <c r="B3" s="3">
        <f>B1*E1/12/4.2/5/8/60*B2</f>
        <v>17.857142857142858</v>
      </c>
    </row>
    <row r="4" spans="1:5">
      <c r="A4" s="1" t="s">
        <v>57</v>
      </c>
      <c r="B4" s="6">
        <v>0.3</v>
      </c>
    </row>
    <row r="5" spans="1:5">
      <c r="A5" s="1" t="s">
        <v>58</v>
      </c>
      <c r="B5" s="9">
        <f>B4*B3</f>
        <v>5.3571428571428568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339.75" customHeight="1">
      <c r="A9" s="5" t="s">
        <v>59</v>
      </c>
      <c r="B9" s="4" t="s">
        <v>60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8D1-8C26-4662-B59B-94234B367C4E}">
  <dimension ref="A1:E32"/>
  <sheetViews>
    <sheetView workbookViewId="0">
      <selection activeCell="B4" sqref="B4"/>
    </sheetView>
  </sheetViews>
  <sheetFormatPr defaultColWidth="8.85546875" defaultRowHeight="15"/>
  <cols>
    <col min="1" max="1" width="3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61</v>
      </c>
      <c r="B2" s="7">
        <v>15</v>
      </c>
    </row>
    <row r="3" spans="1:5">
      <c r="A3" s="1" t="s">
        <v>56</v>
      </c>
      <c r="B3" s="3">
        <f>B1*E1/12/4.2/5/8/60*B2</f>
        <v>5.9523809523809517</v>
      </c>
    </row>
    <row r="4" spans="1:5">
      <c r="A4" s="1" t="s">
        <v>62</v>
      </c>
      <c r="B4" s="6">
        <v>0.4</v>
      </c>
    </row>
    <row r="5" spans="1:5">
      <c r="A5" s="1" t="s">
        <v>63</v>
      </c>
      <c r="B5" s="9">
        <f>B4*B3</f>
        <v>2.3809523809523809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408" customHeight="1">
      <c r="A9" s="5" t="s">
        <v>64</v>
      </c>
      <c r="B9" s="4" t="s">
        <v>65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EA58-5965-47A5-BA5B-2541A9C9985D}">
  <dimension ref="A1:E32"/>
  <sheetViews>
    <sheetView tabSelected="1" workbookViewId="0">
      <selection activeCell="B3" sqref="B3"/>
    </sheetView>
  </sheetViews>
  <sheetFormatPr defaultColWidth="8.85546875" defaultRowHeight="15"/>
  <cols>
    <col min="1" max="1" width="3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66</v>
      </c>
      <c r="B2" s="7">
        <v>90</v>
      </c>
    </row>
    <row r="3" spans="1:5">
      <c r="A3" s="1" t="s">
        <v>67</v>
      </c>
      <c r="B3" s="3">
        <f>B1*E1/12/4.2/5/8/60*B2</f>
        <v>35.714285714285715</v>
      </c>
    </row>
    <row r="4" spans="1:5">
      <c r="A4" s="1" t="s">
        <v>68</v>
      </c>
      <c r="B4" s="6">
        <v>0.3</v>
      </c>
    </row>
    <row r="5" spans="1:5">
      <c r="A5" s="1" t="s">
        <v>69</v>
      </c>
      <c r="B5" s="9">
        <f>B4*B3</f>
        <v>10.714285714285714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408" customHeight="1">
      <c r="A9" s="5" t="s">
        <v>70</v>
      </c>
      <c r="B9" s="4" t="s">
        <v>71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EEBC-A314-4F8B-A828-DED2115453D1}">
  <dimension ref="A1:E32"/>
  <sheetViews>
    <sheetView workbookViewId="0">
      <selection activeCell="B2" sqref="B2"/>
    </sheetView>
  </sheetViews>
  <sheetFormatPr defaultColWidth="8.85546875" defaultRowHeight="15"/>
  <cols>
    <col min="1" max="1" width="3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72</v>
      </c>
      <c r="B2" s="7">
        <v>10</v>
      </c>
    </row>
    <row r="3" spans="1:5">
      <c r="A3" s="1" t="s">
        <v>73</v>
      </c>
      <c r="B3" s="3">
        <f>B1*E1/12/4.2/5/8/60*B2</f>
        <v>3.9682539682539679</v>
      </c>
    </row>
    <row r="4" spans="1:5">
      <c r="A4" s="1" t="s">
        <v>74</v>
      </c>
      <c r="B4" s="6">
        <v>0.4</v>
      </c>
    </row>
    <row r="5" spans="1:5">
      <c r="A5" s="1" t="s">
        <v>75</v>
      </c>
      <c r="B5" s="9">
        <f>B4*B3</f>
        <v>1.5873015873015872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408" customHeight="1">
      <c r="A9" s="5" t="s">
        <v>76</v>
      </c>
      <c r="B9" s="4" t="s">
        <v>77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EDFE-5224-413F-9C31-AD647B26976E}">
  <dimension ref="A1:E32"/>
  <sheetViews>
    <sheetView workbookViewId="0">
      <selection activeCell="B4" sqref="B4"/>
    </sheetView>
  </sheetViews>
  <sheetFormatPr defaultColWidth="8.85546875" defaultRowHeight="15"/>
  <cols>
    <col min="1" max="1" width="3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78</v>
      </c>
      <c r="B2" s="7">
        <v>22</v>
      </c>
    </row>
    <row r="3" spans="1:5">
      <c r="A3" s="1" t="s">
        <v>79</v>
      </c>
      <c r="B3" s="3">
        <f>B1*E1/12/4.2/5/8/60*B2</f>
        <v>8.7301587301587293</v>
      </c>
    </row>
    <row r="4" spans="1:5">
      <c r="A4" s="1" t="s">
        <v>80</v>
      </c>
      <c r="B4" s="6">
        <v>0.4</v>
      </c>
    </row>
    <row r="5" spans="1:5">
      <c r="A5" s="1" t="s">
        <v>81</v>
      </c>
      <c r="B5" s="9">
        <f>B4*B3</f>
        <v>3.4920634920634921</v>
      </c>
    </row>
    <row r="6" spans="1:5">
      <c r="A6" s="1"/>
      <c r="B6" s="3"/>
    </row>
    <row r="7" spans="1:5">
      <c r="A7" s="1"/>
      <c r="B7" s="3"/>
    </row>
    <row r="8" spans="1:5">
      <c r="A8" s="1"/>
      <c r="B8" s="3"/>
    </row>
    <row r="9" spans="1:5" ht="408" customHeight="1">
      <c r="A9" s="5" t="s">
        <v>82</v>
      </c>
      <c r="B9" s="4" t="s">
        <v>83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C85F-7FDE-40B4-8305-9F719D9462DC}">
  <dimension ref="A1:E32"/>
  <sheetViews>
    <sheetView workbookViewId="0">
      <selection activeCell="B9" sqref="B9"/>
    </sheetView>
  </sheetViews>
  <sheetFormatPr defaultColWidth="8.85546875" defaultRowHeight="15"/>
  <cols>
    <col min="1" max="1" width="39.2851562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84</v>
      </c>
      <c r="B2" s="7">
        <f>60*12</f>
        <v>720</v>
      </c>
      <c r="C2" t="s">
        <v>85</v>
      </c>
    </row>
    <row r="3" spans="1:5">
      <c r="A3" s="1" t="s">
        <v>86</v>
      </c>
      <c r="B3" s="3">
        <f>B1*E1/12/4.2/5/8/60*B2</f>
        <v>285.71428571428572</v>
      </c>
    </row>
    <row r="4" spans="1:5">
      <c r="A4" s="1" t="s">
        <v>87</v>
      </c>
      <c r="B4" s="6">
        <v>0.35</v>
      </c>
    </row>
    <row r="5" spans="1:5">
      <c r="A5" s="1" t="s">
        <v>88</v>
      </c>
      <c r="B5" s="9">
        <f>B4*B3</f>
        <v>100</v>
      </c>
    </row>
    <row r="6" spans="1:5">
      <c r="A6" s="1"/>
      <c r="B6" s="3"/>
    </row>
    <row r="7" spans="1:5">
      <c r="A7" s="1"/>
      <c r="B7" s="3"/>
    </row>
    <row r="8" spans="1:5">
      <c r="A8" s="1" t="s">
        <v>89</v>
      </c>
      <c r="B8" s="3"/>
    </row>
    <row r="9" spans="1:5" ht="165" customHeight="1">
      <c r="A9" s="10"/>
      <c r="B9" s="4"/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D73F-98A3-4806-87D1-CFA6889D4B56}">
  <dimension ref="A1:E32"/>
  <sheetViews>
    <sheetView workbookViewId="0">
      <selection activeCell="B3" sqref="B3"/>
    </sheetView>
  </sheetViews>
  <sheetFormatPr defaultColWidth="8.85546875" defaultRowHeight="15"/>
  <cols>
    <col min="1" max="1" width="35" customWidth="1"/>
    <col min="2" max="2" width="63" customWidth="1"/>
  </cols>
  <sheetData>
    <row r="1" spans="1:5">
      <c r="A1" s="1" t="s">
        <v>30</v>
      </c>
      <c r="B1" s="3">
        <v>60000</v>
      </c>
      <c r="D1" s="1" t="s">
        <v>31</v>
      </c>
      <c r="E1" s="6">
        <v>0.8</v>
      </c>
    </row>
    <row r="2" spans="1:5">
      <c r="A2" s="1" t="s">
        <v>90</v>
      </c>
      <c r="B2" s="7">
        <v>120</v>
      </c>
      <c r="C2" t="s">
        <v>91</v>
      </c>
    </row>
    <row r="3" spans="1:5">
      <c r="A3" s="1" t="s">
        <v>92</v>
      </c>
      <c r="B3" s="3">
        <f>B1*E1/12/4.2/5/8/60*B2</f>
        <v>47.619047619047613</v>
      </c>
    </row>
    <row r="4" spans="1:5">
      <c r="A4" s="1" t="s">
        <v>93</v>
      </c>
      <c r="B4" s="6">
        <v>0.3</v>
      </c>
    </row>
    <row r="5" spans="1:5">
      <c r="A5" s="1" t="s">
        <v>94</v>
      </c>
      <c r="B5" s="9">
        <f>B4*B3</f>
        <v>14.285714285714283</v>
      </c>
    </row>
    <row r="6" spans="1:5">
      <c r="A6" s="1"/>
      <c r="B6" s="3"/>
    </row>
    <row r="7" spans="1:5">
      <c r="A7" s="1"/>
      <c r="B7" s="3"/>
    </row>
    <row r="8" spans="1:5">
      <c r="A8" s="1" t="s">
        <v>89</v>
      </c>
      <c r="B8" s="3"/>
    </row>
    <row r="9" spans="1:5" ht="165" customHeight="1">
      <c r="A9" s="10" t="s">
        <v>95</v>
      </c>
      <c r="B9" s="4" t="s">
        <v>96</v>
      </c>
    </row>
    <row r="10" spans="1:5">
      <c r="A10" s="1"/>
      <c r="B10" s="4"/>
    </row>
    <row r="11" spans="1:5" ht="309" customHeight="1">
      <c r="A11" s="5"/>
      <c r="B11" s="4"/>
    </row>
    <row r="12" spans="1:5">
      <c r="A12" s="1"/>
      <c r="B12" s="4"/>
    </row>
    <row r="13" spans="1:5">
      <c r="B13" s="4"/>
    </row>
    <row r="14" spans="1:5">
      <c r="B14" s="4"/>
    </row>
    <row r="15" spans="1:5">
      <c r="B15" s="4"/>
    </row>
    <row r="16" spans="1:5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db62c4-0963-4222-b922-0ce5fbb2b3ba">
      <Terms xmlns="http://schemas.microsoft.com/office/infopath/2007/PartnerControls"/>
    </lcf76f155ced4ddcb4097134ff3c332f>
    <Typeofpresentation xmlns="d6db62c4-0963-4222-b922-0ce5fbb2b3ba" xsi:nil="true"/>
    <TaxCatchAll xmlns="53eb39f4-33c6-453d-b7f2-25047aa3e6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A134681899F4D93FD53BF1729799E" ma:contentTypeVersion="20" ma:contentTypeDescription="Create a new document." ma:contentTypeScope="" ma:versionID="7a144e9c0f7a8e66205f7a1d5ef06f8e">
  <xsd:schema xmlns:xsd="http://www.w3.org/2001/XMLSchema" xmlns:xs="http://www.w3.org/2001/XMLSchema" xmlns:p="http://schemas.microsoft.com/office/2006/metadata/properties" xmlns:ns2="d6db62c4-0963-4222-b922-0ce5fbb2b3ba" xmlns:ns3="53eb39f4-33c6-453d-b7f2-25047aa3e654" targetNamespace="http://schemas.microsoft.com/office/2006/metadata/properties" ma:root="true" ma:fieldsID="faf685dabbc2638ccc295d893b01abfb" ns2:_="" ns3:_="">
    <xsd:import namespace="d6db62c4-0963-4222-b922-0ce5fbb2b3ba"/>
    <xsd:import namespace="53eb39f4-33c6-453d-b7f2-25047aa3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Typeofpresent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b62c4-0963-4222-b922-0ce5fbb2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b55d6-dc06-44ab-a01f-d508de68a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ofpresentation" ma:index="25" nillable="true" ma:displayName="Type of presentation" ma:format="Dropdown" ma:internalName="Typeofpresentation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39f4-33c6-453d-b7f2-25047aa3e65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2f1e8ee-95d0-4fec-9ebb-3ddc3c5a0496}" ma:internalName="TaxCatchAll" ma:showField="CatchAllData" ma:web="53eb39f4-33c6-453d-b7f2-25047aa3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C1D866-1E31-4B8F-91D3-533635B04457}"/>
</file>

<file path=customXml/itemProps2.xml><?xml version="1.0" encoding="utf-8"?>
<ds:datastoreItem xmlns:ds="http://schemas.openxmlformats.org/officeDocument/2006/customXml" ds:itemID="{DF4D3318-2E6D-4ECA-85BC-98F34B5B0CAF}"/>
</file>

<file path=customXml/itemProps3.xml><?xml version="1.0" encoding="utf-8"?>
<ds:datastoreItem xmlns:ds="http://schemas.openxmlformats.org/officeDocument/2006/customXml" ds:itemID="{E6044D0D-7A0A-46F8-B625-5135B68B3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 Hughes</cp:lastModifiedBy>
  <cp:revision/>
  <dcterms:created xsi:type="dcterms:W3CDTF">2024-02-13T10:24:27Z</dcterms:created>
  <dcterms:modified xsi:type="dcterms:W3CDTF">2025-09-17T13:26:05Z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0x010100E9BA134681899F4D93FD53BF1729799E</vt:lpwstr>
  </property>
  <property fmtid="{D5CDD505-2E9C-101B-9397-08002B2CF9AE}" pid="3" name="MediaServiceImageTags">
    <vt:lpwstr/>
  </property>
</Properties>
</file>